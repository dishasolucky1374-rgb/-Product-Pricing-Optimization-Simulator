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164" fontId="5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2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Product Pricing Optimization Simulator — Step 3: Demand Simulation</t>
        </is>
      </c>
    </row>
    <row r="2">
      <c r="A2" s="2" t="inlineStr">
        <is>
          <t>Price Elasticity Analysis &amp; Adjusted Demand Calculations across Pricing Scenarios</t>
        </is>
      </c>
    </row>
    <row r="4">
      <c r="A4" s="3" t="inlineStr">
        <is>
          <t>Product_ID</t>
        </is>
      </c>
      <c r="B4" s="3" t="inlineStr">
        <is>
          <t>Product_Name</t>
        </is>
      </c>
      <c r="C4" s="3" t="inlineStr">
        <is>
          <t>Current_Price</t>
        </is>
      </c>
      <c r="D4" s="3" t="inlineStr">
        <is>
          <t>New_Price</t>
        </is>
      </c>
      <c r="E4" s="3" t="inlineStr">
        <is>
          <t>Estimated_Demand</t>
        </is>
      </c>
      <c r="F4" s="3" t="inlineStr">
        <is>
          <t>Elasticity_Factor</t>
        </is>
      </c>
      <c r="G4" s="3" t="inlineStr">
        <is>
          <t>Price_Change_%</t>
        </is>
      </c>
      <c r="H4" s="3" t="inlineStr">
        <is>
          <t>Demand_Change_%</t>
        </is>
      </c>
      <c r="I4" s="3" t="inlineStr">
        <is>
          <t>Adjusted_Demand</t>
        </is>
      </c>
    </row>
    <row r="5">
      <c r="A5" s="4" t="inlineStr">
        <is>
          <t>PRD-101</t>
        </is>
      </c>
      <c r="B5" s="5" t="inlineStr">
        <is>
          <t>CloudFlow Analytics Pro</t>
        </is>
      </c>
      <c r="C5" s="6" t="n">
        <v>499</v>
      </c>
      <c r="D5" s="6" t="n">
        <v>598.8</v>
      </c>
      <c r="E5" s="7" t="n">
        <v>15000</v>
      </c>
      <c r="F5" s="8" t="n">
        <v>-0.85</v>
      </c>
      <c r="G5" s="9">
        <f>(D5-C5)/C5</f>
        <v/>
      </c>
      <c r="H5" s="9">
        <f>F5*G5</f>
        <v/>
      </c>
      <c r="I5" s="7">
        <f>MAX(0, E5*(1+(F5*((D5-C5)/C5))))</f>
        <v/>
      </c>
    </row>
    <row r="6">
      <c r="A6" s="10" t="inlineStr">
        <is>
          <t>PRD-102</t>
        </is>
      </c>
      <c r="B6" s="11" t="inlineStr">
        <is>
          <t>DevPulse Security Shield</t>
        </is>
      </c>
      <c r="C6" s="12" t="n">
        <v>899</v>
      </c>
      <c r="D6" s="12" t="n">
        <v>1033.85</v>
      </c>
      <c r="E6" s="13" t="n">
        <v>8500</v>
      </c>
      <c r="F6" s="14" t="n">
        <v>-0.45</v>
      </c>
      <c r="G6" s="15">
        <f>(D6-C6)/C6</f>
        <v/>
      </c>
      <c r="H6" s="15">
        <f>F6*G6</f>
        <v/>
      </c>
      <c r="I6" s="13">
        <f>MAX(0, E6*(1+(F6*((D6-C6)/C6))))</f>
        <v/>
      </c>
    </row>
    <row r="7">
      <c r="A7" s="4" t="inlineStr">
        <is>
          <t>PRD-103</t>
        </is>
      </c>
      <c r="B7" s="5" t="inlineStr">
        <is>
          <t>EduFlex Learning Management</t>
        </is>
      </c>
      <c r="C7" s="6" t="n">
        <v>199</v>
      </c>
      <c r="D7" s="6" t="n">
        <v>248.75</v>
      </c>
      <c r="E7" s="7" t="n">
        <v>32000</v>
      </c>
      <c r="F7" s="8" t="n">
        <v>-1.5</v>
      </c>
      <c r="G7" s="9">
        <f>(D7-C7)/C7</f>
        <v/>
      </c>
      <c r="H7" s="9">
        <f>F7*G7</f>
        <v/>
      </c>
      <c r="I7" s="7">
        <f>MAX(0, E7*(1+(F7*((D7-C7)/C7))))</f>
        <v/>
      </c>
    </row>
    <row r="8">
      <c r="A8" s="10" t="inlineStr">
        <is>
          <t>PRD-104</t>
        </is>
      </c>
      <c r="B8" s="11" t="inlineStr">
        <is>
          <t>PaySync Gateway Enterprise</t>
        </is>
      </c>
      <c r="C8" s="12" t="n">
        <v>699</v>
      </c>
      <c r="D8" s="12" t="n">
        <v>768.9</v>
      </c>
      <c r="E8" s="13" t="n">
        <v>12500</v>
      </c>
      <c r="F8" s="14" t="n">
        <v>-0.6</v>
      </c>
      <c r="G8" s="15">
        <f>(D8-C8)/C8</f>
        <v/>
      </c>
      <c r="H8" s="15">
        <f>F8*G8</f>
        <v/>
      </c>
      <c r="I8" s="13">
        <f>MAX(0, E8*(1+(F8*((D8-C8)/C8))))</f>
        <v/>
      </c>
    </row>
    <row r="9">
      <c r="A9" s="4" t="inlineStr">
        <is>
          <t>PRD-105</t>
        </is>
      </c>
      <c r="B9" s="5" t="inlineStr">
        <is>
          <t>OmniCRM Growth Suite</t>
        </is>
      </c>
      <c r="C9" s="6" t="n">
        <v>349</v>
      </c>
      <c r="D9" s="6" t="n">
        <v>411.82</v>
      </c>
      <c r="E9" s="7" t="n">
        <v>22000</v>
      </c>
      <c r="F9" s="8" t="n">
        <v>-1.2</v>
      </c>
      <c r="G9" s="9">
        <f>(D9-C9)/C9</f>
        <v/>
      </c>
      <c r="H9" s="9">
        <f>F9*G9</f>
        <v/>
      </c>
      <c r="I9" s="7">
        <f>MAX(0, E9*(1+(F9*((D9-C9)/C9))))</f>
        <v/>
      </c>
    </row>
    <row r="10">
      <c r="A10" s="10" t="inlineStr">
        <is>
          <t>PRD-106</t>
        </is>
      </c>
      <c r="B10" s="11" t="inlineStr">
        <is>
          <t>SmartStore E-Com Manager</t>
        </is>
      </c>
      <c r="C10" s="12" t="n">
        <v>299</v>
      </c>
      <c r="D10" s="12" t="n">
        <v>328.9</v>
      </c>
      <c r="E10" s="13" t="n">
        <v>28000</v>
      </c>
      <c r="F10" s="14" t="n">
        <v>-1.4</v>
      </c>
      <c r="G10" s="15">
        <f>(D10-C10)/C10</f>
        <v/>
      </c>
      <c r="H10" s="15">
        <f>F10*G10</f>
        <v/>
      </c>
      <c r="I10" s="13">
        <f>MAX(0, E10*(1+(F10*((D10-C10)/C10))))</f>
        <v/>
      </c>
    </row>
    <row r="11">
      <c r="A11" s="4" t="inlineStr">
        <is>
          <t>PRD-107</t>
        </is>
      </c>
      <c r="B11" s="5" t="inlineStr">
        <is>
          <t>AI TaskMaster Workflow</t>
        </is>
      </c>
      <c r="C11" s="6" t="n">
        <v>149</v>
      </c>
      <c r="D11" s="6" t="n">
        <v>193.7</v>
      </c>
      <c r="E11" s="7" t="n">
        <v>45000</v>
      </c>
      <c r="F11" s="8" t="n">
        <v>-1.8</v>
      </c>
      <c r="G11" s="9">
        <f>(D11-C11)/C11</f>
        <v/>
      </c>
      <c r="H11" s="9">
        <f>F11*G11</f>
        <v/>
      </c>
      <c r="I11" s="7">
        <f>MAX(0, E11*(1+(F11*((D11-C11)/C11))))</f>
        <v/>
      </c>
    </row>
    <row r="12">
      <c r="A12" s="10" t="inlineStr">
        <is>
          <t>PRD-108</t>
        </is>
      </c>
      <c r="B12" s="11" t="inlineStr">
        <is>
          <t>DataVault Cloud Backup</t>
        </is>
      </c>
      <c r="C12" s="12" t="n">
        <v>449</v>
      </c>
      <c r="D12" s="12" t="n">
        <v>516.35</v>
      </c>
      <c r="E12" s="13" t="n">
        <v>18500</v>
      </c>
      <c r="F12" s="14" t="n">
        <v>-0.75</v>
      </c>
      <c r="G12" s="15">
        <f>(D12-C12)/C12</f>
        <v/>
      </c>
      <c r="H12" s="15">
        <f>F12*G12</f>
        <v/>
      </c>
      <c r="I12" s="13">
        <f>MAX(0, E12*(1+(F12*((D12-C12)/C12))))</f>
        <v/>
      </c>
    </row>
    <row r="13">
      <c r="A13" s="4" t="inlineStr">
        <is>
          <t>PRD-109</t>
        </is>
      </c>
      <c r="B13" s="5" t="inlineStr">
        <is>
          <t>TalentScout HR Automation</t>
        </is>
      </c>
      <c r="C13" s="6" t="n">
        <v>399</v>
      </c>
      <c r="D13" s="6" t="n">
        <v>486.78</v>
      </c>
      <c r="E13" s="7" t="n">
        <v>14000</v>
      </c>
      <c r="F13" s="8" t="n">
        <v>-1.1</v>
      </c>
      <c r="G13" s="9">
        <f>(D13-C13)/C13</f>
        <v/>
      </c>
      <c r="H13" s="9">
        <f>F13*G13</f>
        <v/>
      </c>
      <c r="I13" s="7">
        <f>MAX(0, E13*(1+(F13*((D13-C13)/C13))))</f>
        <v/>
      </c>
    </row>
    <row r="14">
      <c r="A14" s="10" t="inlineStr">
        <is>
          <t>PRD-110</t>
        </is>
      </c>
      <c r="B14" s="11" t="inlineStr">
        <is>
          <t>HealthTrack Clinic Ops</t>
        </is>
      </c>
      <c r="C14" s="12" t="n">
        <v>799</v>
      </c>
      <c r="D14" s="12" t="n">
        <v>878.9</v>
      </c>
      <c r="E14" s="13" t="n">
        <v>6500</v>
      </c>
      <c r="F14" s="14" t="n">
        <v>-0.35</v>
      </c>
      <c r="G14" s="15">
        <f>(D14-C14)/C14</f>
        <v/>
      </c>
      <c r="H14" s="15">
        <f>F14*G14</f>
        <v/>
      </c>
      <c r="I14" s="13">
        <f>MAX(0, E14*(1+(F14*((D14-C14)/C14))))</f>
        <v/>
      </c>
    </row>
    <row r="15">
      <c r="A15" s="4" t="inlineStr">
        <is>
          <t>PRD-111</t>
        </is>
      </c>
      <c r="B15" s="5" t="inlineStr">
        <is>
          <t>LegalDoc AI Generator</t>
        </is>
      </c>
      <c r="C15" s="6" t="n">
        <v>599</v>
      </c>
      <c r="D15" s="6" t="n">
        <v>688.85</v>
      </c>
      <c r="E15" s="7" t="n">
        <v>9800</v>
      </c>
      <c r="F15" s="8" t="n">
        <v>-0.5</v>
      </c>
      <c r="G15" s="9">
        <f>(D15-C15)/C15</f>
        <v/>
      </c>
      <c r="H15" s="9">
        <f>F15*G15</f>
        <v/>
      </c>
      <c r="I15" s="7">
        <f>MAX(0, E15*(1+(F15*((D15-C15)/C15))))</f>
        <v/>
      </c>
    </row>
    <row r="16">
      <c r="A16" s="10" t="inlineStr">
        <is>
          <t>PRD-112</t>
        </is>
      </c>
      <c r="B16" s="11" t="inlineStr">
        <is>
          <t>LogiRoute Fleet Tracking</t>
        </is>
      </c>
      <c r="C16" s="12" t="n">
        <v>1199</v>
      </c>
      <c r="D16" s="12" t="n">
        <v>1294.92</v>
      </c>
      <c r="E16" s="13" t="n">
        <v>5200</v>
      </c>
      <c r="F16" s="14" t="n">
        <v>-0.4</v>
      </c>
      <c r="G16" s="15">
        <f>(D16-C16)/C16</f>
        <v/>
      </c>
      <c r="H16" s="15">
        <f>F16*G16</f>
        <v/>
      </c>
      <c r="I16" s="13">
        <f>MAX(0, E16*(1+(F16*((D16-C16)/C16))))</f>
        <v/>
      </c>
    </row>
    <row r="17">
      <c r="A17" s="4" t="inlineStr">
        <is>
          <t>PRD-113</t>
        </is>
      </c>
      <c r="B17" s="5" t="inlineStr">
        <is>
          <t>CyberGuard Endpoint Protection</t>
        </is>
      </c>
      <c r="C17" s="6" t="n">
        <v>649</v>
      </c>
      <c r="D17" s="6" t="n">
        <v>726.88</v>
      </c>
      <c r="E17" s="7" t="n">
        <v>11000</v>
      </c>
      <c r="F17" s="8" t="n">
        <v>-0.65</v>
      </c>
      <c r="G17" s="9">
        <f>(D17-C17)/C17</f>
        <v/>
      </c>
      <c r="H17" s="9">
        <f>F17*G17</f>
        <v/>
      </c>
      <c r="I17" s="7">
        <f>MAX(0, E17*(1+(F17*((D17-C17)/C17))))</f>
        <v/>
      </c>
    </row>
    <row r="18">
      <c r="A18" s="10" t="inlineStr">
        <is>
          <t>PRD-114</t>
        </is>
      </c>
      <c r="B18" s="11" t="inlineStr">
        <is>
          <t>DesignCraft UI Suite</t>
        </is>
      </c>
      <c r="C18" s="12" t="n">
        <v>179</v>
      </c>
      <c r="D18" s="12" t="n">
        <v>223.75</v>
      </c>
      <c r="E18" s="13" t="n">
        <v>38000</v>
      </c>
      <c r="F18" s="14" t="n">
        <v>-1.6</v>
      </c>
      <c r="G18" s="15">
        <f>(D18-C18)/C18</f>
        <v/>
      </c>
      <c r="H18" s="15">
        <f>F18*G18</f>
        <v/>
      </c>
      <c r="I18" s="13">
        <f>MAX(0, E18*(1+(F18*((D18-C18)/C18))))</f>
        <v/>
      </c>
    </row>
    <row r="19">
      <c r="A19" s="4" t="inlineStr">
        <is>
          <t>PRD-115</t>
        </is>
      </c>
      <c r="B19" s="5" t="inlineStr">
        <is>
          <t>AdBoost Marketing Engine</t>
        </is>
      </c>
      <c r="C19" s="6" t="n">
        <v>549</v>
      </c>
      <c r="D19" s="6" t="n">
        <v>631.35</v>
      </c>
      <c r="E19" s="7" t="n">
        <v>16500</v>
      </c>
      <c r="F19" s="8" t="n">
        <v>-0.95</v>
      </c>
      <c r="G19" s="9">
        <f>(D19-C19)/C19</f>
        <v/>
      </c>
      <c r="H19" s="9">
        <f>F19*G19</f>
        <v/>
      </c>
      <c r="I19" s="7">
        <f>MAX(0, E19*(1+(F19*((D19-C19)/C19))))</f>
        <v/>
      </c>
    </row>
    <row r="20">
      <c r="A20" s="16" t="inlineStr">
        <is>
          <t>AVERAGE / TOTAL</t>
        </is>
      </c>
      <c r="B20" s="17" t="n"/>
      <c r="C20" s="18">
        <f>AVERAGE(C5:C19)</f>
        <v/>
      </c>
      <c r="D20" s="18">
        <f>AVERAGE(D5:D19)</f>
        <v/>
      </c>
      <c r="E20" s="19">
        <f>SUM(E5:E19)</f>
        <v/>
      </c>
      <c r="F20" s="20">
        <f>AVERAGE(F5:F19)</f>
        <v/>
      </c>
      <c r="G20" s="21">
        <f>AVERAGE(G5:G19)</f>
        <v/>
      </c>
      <c r="H20" s="21">
        <f>AVERAGE(H5:H19)</f>
        <v/>
      </c>
      <c r="I20" s="19">
        <f>SUM(I5:I19)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2026-08-18T14:58:08Z</dcterms:created>
  <dcterms:modified xmlns:dcterms="http://purl.org/dc/terms/" xmlns:xsi="http://www.w3.org/2001/XMLSchema-instance" xsi:type="dcterms:W3CDTF">2026-08-18T14:58:08Z</dcterms:modified>
</cp:coreProperties>
</file>