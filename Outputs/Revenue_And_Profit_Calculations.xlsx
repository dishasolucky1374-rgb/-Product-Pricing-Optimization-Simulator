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Profit_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8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Product Pricing Optimization Simulator — Step 4: Revenue &amp; Profit Engine</t>
        </is>
      </c>
    </row>
    <row r="2">
      <c r="A2" s="2" t="inlineStr">
        <is>
          <t>Financial Performance &amp; Market Share Analysis across Pricing Strategies</t>
        </is>
      </c>
    </row>
    <row r="4">
      <c r="A4" s="3" t="inlineStr">
        <is>
          <t>Product_ID</t>
        </is>
      </c>
      <c r="B4" s="3" t="inlineStr">
        <is>
          <t>Product_Name</t>
        </is>
      </c>
      <c r="C4" s="3" t="inlineStr">
        <is>
          <t>Unit_Cost</t>
        </is>
      </c>
      <c r="D4" s="3" t="inlineStr">
        <is>
          <t>New_Price</t>
        </is>
      </c>
      <c r="E4" s="3" t="inlineStr">
        <is>
          <t>Adjusted_Demand</t>
        </is>
      </c>
      <c r="F4" s="3" t="inlineStr">
        <is>
          <t>Market_Size</t>
        </is>
      </c>
      <c r="G4" s="3" t="inlineStr">
        <is>
          <t>Revenue</t>
        </is>
      </c>
      <c r="H4" s="3" t="inlineStr">
        <is>
          <t>Profit</t>
        </is>
      </c>
      <c r="I4" s="3" t="inlineStr">
        <is>
          <t>Profit_Margin_%</t>
        </is>
      </c>
      <c r="J4" s="3" t="inlineStr">
        <is>
          <t>Market_Share_%</t>
        </is>
      </c>
    </row>
    <row r="5">
      <c r="A5" s="4" t="inlineStr">
        <is>
          <t>PRD-101</t>
        </is>
      </c>
      <c r="B5" s="5" t="inlineStr">
        <is>
          <t>CloudFlow Analytics Pro</t>
        </is>
      </c>
      <c r="C5" s="6" t="n">
        <v>120</v>
      </c>
      <c r="D5" s="6" t="n">
        <v>598.8</v>
      </c>
      <c r="E5" s="7" t="n">
        <v>12450</v>
      </c>
      <c r="F5" s="7" t="n">
        <v>250000</v>
      </c>
      <c r="G5" s="6">
        <f>D5*E5</f>
        <v/>
      </c>
      <c r="H5" s="6">
        <f>(D5-C5)*E5</f>
        <v/>
      </c>
      <c r="I5" s="8">
        <f>H5/G5</f>
        <v/>
      </c>
      <c r="J5" s="9">
        <f>E5/F5</f>
        <v/>
      </c>
    </row>
    <row r="6">
      <c r="A6" s="10" t="inlineStr">
        <is>
          <t>PRD-102</t>
        </is>
      </c>
      <c r="B6" s="11" t="inlineStr">
        <is>
          <t>DevPulse Security Shield</t>
        </is>
      </c>
      <c r="C6" s="12" t="n">
        <v>250</v>
      </c>
      <c r="D6" s="12" t="n">
        <v>1033.85</v>
      </c>
      <c r="E6" s="13" t="n">
        <v>7926</v>
      </c>
      <c r="F6" s="13" t="n">
        <v>120000</v>
      </c>
      <c r="G6" s="12">
        <f>D6*E6</f>
        <v/>
      </c>
      <c r="H6" s="12">
        <f>(D6-C6)*E6</f>
        <v/>
      </c>
      <c r="I6" s="14">
        <f>H6/G6</f>
        <v/>
      </c>
      <c r="J6" s="15">
        <f>E6/F6</f>
        <v/>
      </c>
    </row>
    <row r="7">
      <c r="A7" s="4" t="inlineStr">
        <is>
          <t>PRD-103</t>
        </is>
      </c>
      <c r="B7" s="5" t="inlineStr">
        <is>
          <t>EduFlex Learning Management</t>
        </is>
      </c>
      <c r="C7" s="6" t="n">
        <v>45</v>
      </c>
      <c r="D7" s="6" t="n">
        <v>248.75</v>
      </c>
      <c r="E7" s="7" t="n">
        <v>20000</v>
      </c>
      <c r="F7" s="7" t="n">
        <v>500000</v>
      </c>
      <c r="G7" s="6">
        <f>D7*E7</f>
        <v/>
      </c>
      <c r="H7" s="6">
        <f>(D7-C7)*E7</f>
        <v/>
      </c>
      <c r="I7" s="8">
        <f>H7/G7</f>
        <v/>
      </c>
      <c r="J7" s="9">
        <f>E7/F7</f>
        <v/>
      </c>
    </row>
    <row r="8">
      <c r="A8" s="10" t="inlineStr">
        <is>
          <t>PRD-104</t>
        </is>
      </c>
      <c r="B8" s="11" t="inlineStr">
        <is>
          <t>PaySync Gateway Enterprise</t>
        </is>
      </c>
      <c r="C8" s="12" t="n">
        <v>180</v>
      </c>
      <c r="D8" s="12" t="n">
        <v>768.9</v>
      </c>
      <c r="E8" s="13" t="n">
        <v>11750</v>
      </c>
      <c r="F8" s="13" t="n">
        <v>180000</v>
      </c>
      <c r="G8" s="12">
        <f>D8*E8</f>
        <v/>
      </c>
      <c r="H8" s="12">
        <f>(D8-C8)*E8</f>
        <v/>
      </c>
      <c r="I8" s="14">
        <f>H8/G8</f>
        <v/>
      </c>
      <c r="J8" s="15">
        <f>E8/F8</f>
        <v/>
      </c>
    </row>
    <row r="9">
      <c r="A9" s="4" t="inlineStr">
        <is>
          <t>PRD-105</t>
        </is>
      </c>
      <c r="B9" s="5" t="inlineStr">
        <is>
          <t>OmniCRM Growth Suite</t>
        </is>
      </c>
      <c r="C9" s="6" t="n">
        <v>80</v>
      </c>
      <c r="D9" s="6" t="n">
        <v>411.82</v>
      </c>
      <c r="E9" s="7" t="n">
        <v>17248</v>
      </c>
      <c r="F9" s="7" t="n">
        <v>350000</v>
      </c>
      <c r="G9" s="6">
        <f>D9*E9</f>
        <v/>
      </c>
      <c r="H9" s="6">
        <f>(D9-C9)*E9</f>
        <v/>
      </c>
      <c r="I9" s="8">
        <f>H9/G9</f>
        <v/>
      </c>
      <c r="J9" s="9">
        <f>E9/F9</f>
        <v/>
      </c>
    </row>
    <row r="10">
      <c r="A10" s="10" t="inlineStr">
        <is>
          <t>PRD-106</t>
        </is>
      </c>
      <c r="B10" s="11" t="inlineStr">
        <is>
          <t>SmartStore E-Com Manager</t>
        </is>
      </c>
      <c r="C10" s="12" t="n">
        <v>65</v>
      </c>
      <c r="D10" s="12" t="n">
        <v>328.9</v>
      </c>
      <c r="E10" s="13" t="n">
        <v>24080</v>
      </c>
      <c r="F10" s="13" t="n">
        <v>400000</v>
      </c>
      <c r="G10" s="12">
        <f>D10*E10</f>
        <v/>
      </c>
      <c r="H10" s="12">
        <f>(D10-C10)*E10</f>
        <v/>
      </c>
      <c r="I10" s="14">
        <f>H10/G10</f>
        <v/>
      </c>
      <c r="J10" s="15">
        <f>E10/F10</f>
        <v/>
      </c>
    </row>
    <row r="11">
      <c r="A11" s="4" t="inlineStr">
        <is>
          <t>PRD-107</t>
        </is>
      </c>
      <c r="B11" s="5" t="inlineStr">
        <is>
          <t>AI TaskMaster Workflow</t>
        </is>
      </c>
      <c r="C11" s="6" t="n">
        <v>25</v>
      </c>
      <c r="D11" s="6" t="n">
        <v>193.7</v>
      </c>
      <c r="E11" s="7" t="n">
        <v>20700</v>
      </c>
      <c r="F11" s="7" t="n">
        <v>750000</v>
      </c>
      <c r="G11" s="6">
        <f>D11*E11</f>
        <v/>
      </c>
      <c r="H11" s="6">
        <f>(D11-C11)*E11</f>
        <v/>
      </c>
      <c r="I11" s="8">
        <f>H11/G11</f>
        <v/>
      </c>
      <c r="J11" s="9">
        <f>E11/F11</f>
        <v/>
      </c>
    </row>
    <row r="12">
      <c r="A12" s="10" t="inlineStr">
        <is>
          <t>PRD-108</t>
        </is>
      </c>
      <c r="B12" s="11" t="inlineStr">
        <is>
          <t>DataVault Cloud Backup</t>
        </is>
      </c>
      <c r="C12" s="12" t="n">
        <v>110</v>
      </c>
      <c r="D12" s="12" t="n">
        <v>516.35</v>
      </c>
      <c r="E12" s="13" t="n">
        <v>16419</v>
      </c>
      <c r="F12" s="13" t="n">
        <v>300000</v>
      </c>
      <c r="G12" s="12">
        <f>D12*E12</f>
        <v/>
      </c>
      <c r="H12" s="12">
        <f>(D12-C12)*E12</f>
        <v/>
      </c>
      <c r="I12" s="14">
        <f>H12/G12</f>
        <v/>
      </c>
      <c r="J12" s="15">
        <f>E12/F12</f>
        <v/>
      </c>
    </row>
    <row r="13">
      <c r="A13" s="4" t="inlineStr">
        <is>
          <t>PRD-109</t>
        </is>
      </c>
      <c r="B13" s="5" t="inlineStr">
        <is>
          <t>TalentScout HR Automation</t>
        </is>
      </c>
      <c r="C13" s="6" t="n">
        <v>95</v>
      </c>
      <c r="D13" s="6" t="n">
        <v>486.78</v>
      </c>
      <c r="E13" s="7" t="n">
        <v>10612</v>
      </c>
      <c r="F13" s="7" t="n">
        <v>220000</v>
      </c>
      <c r="G13" s="6">
        <f>D13*E13</f>
        <v/>
      </c>
      <c r="H13" s="6">
        <f>(D13-C13)*E13</f>
        <v/>
      </c>
      <c r="I13" s="8">
        <f>H13/G13</f>
        <v/>
      </c>
      <c r="J13" s="9">
        <f>E13/F13</f>
        <v/>
      </c>
    </row>
    <row r="14">
      <c r="A14" s="10" t="inlineStr">
        <is>
          <t>PRD-110</t>
        </is>
      </c>
      <c r="B14" s="11" t="inlineStr">
        <is>
          <t>HealthTrack Clinic Ops</t>
        </is>
      </c>
      <c r="C14" s="12" t="n">
        <v>210</v>
      </c>
      <c r="D14" s="12" t="n">
        <v>878.9</v>
      </c>
      <c r="E14" s="13" t="n">
        <v>6272</v>
      </c>
      <c r="F14" s="13" t="n">
        <v>95000</v>
      </c>
      <c r="G14" s="12">
        <f>D14*E14</f>
        <v/>
      </c>
      <c r="H14" s="12">
        <f>(D14-C14)*E14</f>
        <v/>
      </c>
      <c r="I14" s="14">
        <f>H14/G14</f>
        <v/>
      </c>
      <c r="J14" s="15">
        <f>E14/F14</f>
        <v/>
      </c>
    </row>
    <row r="15">
      <c r="A15" s="4" t="inlineStr">
        <is>
          <t>PRD-111</t>
        </is>
      </c>
      <c r="B15" s="5" t="inlineStr">
        <is>
          <t>LegalDoc AI Generator</t>
        </is>
      </c>
      <c r="C15" s="6" t="n">
        <v>150</v>
      </c>
      <c r="D15" s="6" t="n">
        <v>688.85</v>
      </c>
      <c r="E15" s="7" t="n">
        <v>9065</v>
      </c>
      <c r="F15" s="7" t="n">
        <v>150000</v>
      </c>
      <c r="G15" s="6">
        <f>D15*E15</f>
        <v/>
      </c>
      <c r="H15" s="6">
        <f>(D15-C15)*E15</f>
        <v/>
      </c>
      <c r="I15" s="8">
        <f>H15/G15</f>
        <v/>
      </c>
      <c r="J15" s="9">
        <f>E15/F15</f>
        <v/>
      </c>
    </row>
    <row r="16">
      <c r="A16" s="10" t="inlineStr">
        <is>
          <t>PRD-112</t>
        </is>
      </c>
      <c r="B16" s="11" t="inlineStr">
        <is>
          <t>LogiRoute Fleet Tracking</t>
        </is>
      </c>
      <c r="C16" s="12" t="n">
        <v>280</v>
      </c>
      <c r="D16" s="12" t="n">
        <v>1294.92</v>
      </c>
      <c r="E16" s="13" t="n">
        <v>5034</v>
      </c>
      <c r="F16" s="13" t="n">
        <v>80000</v>
      </c>
      <c r="G16" s="12">
        <f>D16*E16</f>
        <v/>
      </c>
      <c r="H16" s="12">
        <f>(D16-C16)*E16</f>
        <v/>
      </c>
      <c r="I16" s="14">
        <f>H16/G16</f>
        <v/>
      </c>
      <c r="J16" s="15">
        <f>E16/F16</f>
        <v/>
      </c>
    </row>
    <row r="17">
      <c r="A17" s="4" t="inlineStr">
        <is>
          <t>PRD-113</t>
        </is>
      </c>
      <c r="B17" s="5" t="inlineStr">
        <is>
          <t>CyberGuard Endpoint Protection</t>
        </is>
      </c>
      <c r="C17" s="6" t="n">
        <v>175</v>
      </c>
      <c r="D17" s="6" t="n">
        <v>726.88</v>
      </c>
      <c r="E17" s="7" t="n">
        <v>10142</v>
      </c>
      <c r="F17" s="7" t="n">
        <v>160000</v>
      </c>
      <c r="G17" s="6">
        <f>D17*E17</f>
        <v/>
      </c>
      <c r="H17" s="6">
        <f>(D17-C17)*E17</f>
        <v/>
      </c>
      <c r="I17" s="8">
        <f>H17/G17</f>
        <v/>
      </c>
      <c r="J17" s="9">
        <f>E17/F17</f>
        <v/>
      </c>
    </row>
    <row r="18">
      <c r="A18" s="10" t="inlineStr">
        <is>
          <t>PRD-114</t>
        </is>
      </c>
      <c r="B18" s="11" t="inlineStr">
        <is>
          <t>DesignCraft UI Suite</t>
        </is>
      </c>
      <c r="C18" s="12" t="n">
        <v>35</v>
      </c>
      <c r="D18" s="12" t="n">
        <v>223.75</v>
      </c>
      <c r="E18" s="13" t="n">
        <v>22800</v>
      </c>
      <c r="F18" s="13" t="n">
        <v>600000</v>
      </c>
      <c r="G18" s="12">
        <f>D18*E18</f>
        <v/>
      </c>
      <c r="H18" s="12">
        <f>(D18-C18)*E18</f>
        <v/>
      </c>
      <c r="I18" s="14">
        <f>H18/G18</f>
        <v/>
      </c>
      <c r="J18" s="15">
        <f>E18/F18</f>
        <v/>
      </c>
    </row>
    <row r="19">
      <c r="A19" s="4" t="inlineStr">
        <is>
          <t>PRD-115</t>
        </is>
      </c>
      <c r="B19" s="5" t="inlineStr">
        <is>
          <t>AdBoost Marketing Engine</t>
        </is>
      </c>
      <c r="C19" s="6" t="n">
        <v>130</v>
      </c>
      <c r="D19" s="6" t="n">
        <v>631.35</v>
      </c>
      <c r="E19" s="7" t="n">
        <v>14149</v>
      </c>
      <c r="F19" s="7" t="n">
        <v>280000</v>
      </c>
      <c r="G19" s="6">
        <f>D19*E19</f>
        <v/>
      </c>
      <c r="H19" s="6">
        <f>(D19-C19)*E19</f>
        <v/>
      </c>
      <c r="I19" s="8">
        <f>H19/G19</f>
        <v/>
      </c>
      <c r="J19" s="9">
        <f>E19/F19</f>
        <v/>
      </c>
    </row>
    <row r="20">
      <c r="A20" s="16" t="inlineStr">
        <is>
          <t>AVERAGE / TOTAL</t>
        </is>
      </c>
      <c r="B20" s="17" t="n"/>
      <c r="C20" s="18">
        <f>AVERAGE(C5:C19)</f>
        <v/>
      </c>
      <c r="D20" s="18">
        <f>AVERAGE(D5:D19)</f>
        <v/>
      </c>
      <c r="E20" s="19">
        <f>SUM(E5:E19)</f>
        <v/>
      </c>
      <c r="F20" s="19">
        <f>SUM(F5:F19)</f>
        <v/>
      </c>
      <c r="G20" s="18">
        <f>SUM(G5:G19)</f>
        <v/>
      </c>
      <c r="H20" s="18">
        <f>SUM(H5:H19)</f>
        <v/>
      </c>
      <c r="I20" s="20">
        <f>H20/G20</f>
        <v/>
      </c>
      <c r="J20" s="21">
        <f>E20/F20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2026-08-18T14:59:53Z</dcterms:created>
  <dcterms:modified xmlns:dcterms="http://purl.org/dc/terms/" xmlns:xsi="http://www.w3.org/2001/XMLSchema-instance" xsi:type="dcterms:W3CDTF">2026-08-18T14:59:53Z</dcterms:modified>
</cp:coreProperties>
</file>