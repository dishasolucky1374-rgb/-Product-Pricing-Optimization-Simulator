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pivotButton="0" quotePrefix="0" xfId="0"/>
    <xf numFmtId="164" fontId="5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6" customWidth="1" min="4" max="4"/>
    <col width="18" customWidth="1" min="5" max="5"/>
    <col width="12" customWidth="1" min="6" max="6"/>
    <col width="14" customWidth="1" min="7" max="7"/>
    <col width="16" customWidth="1" min="8" max="8"/>
    <col width="18" customWidth="1" min="9" max="9"/>
    <col width="24" customWidth="1" min="10" max="10"/>
    <col width="20" customWidth="1" min="11" max="11"/>
    <col width="24" customWidth="1" min="12" max="12"/>
  </cols>
  <sheetData>
    <row r="1">
      <c r="A1" s="1" t="inlineStr">
        <is>
          <t>Product Pricing Optimization Simulator — Step 2: Pricing Strategies</t>
        </is>
      </c>
    </row>
    <row r="2">
      <c r="A2" s="2" t="inlineStr">
        <is>
          <t>Simulation of Cost-Plus, Competitor-Based, Value-Based, and Dynamic Strategy Models</t>
        </is>
      </c>
    </row>
    <row r="4">
      <c r="A4" s="3" t="inlineStr">
        <is>
          <t>Product_ID</t>
        </is>
      </c>
      <c r="B4" s="3" t="inlineStr">
        <is>
          <t>Product_Name</t>
        </is>
      </c>
      <c r="C4" s="3" t="inlineStr">
        <is>
          <t>Unit_Cost</t>
        </is>
      </c>
      <c r="D4" s="3" t="inlineStr">
        <is>
          <t>Current_Price</t>
        </is>
      </c>
      <c r="E4" s="3" t="inlineStr">
        <is>
          <t>Competitor_Price</t>
        </is>
      </c>
      <c r="F4" s="3" t="inlineStr">
        <is>
          <t>Markup_%</t>
        </is>
      </c>
      <c r="G4" s="3" t="inlineStr">
        <is>
          <t>Comp_Adj_%</t>
        </is>
      </c>
      <c r="H4" s="3" t="inlineStr">
        <is>
          <t>Willingness_%</t>
        </is>
      </c>
      <c r="I4" s="3" t="inlineStr">
        <is>
          <t>Cost_Plus_Price</t>
        </is>
      </c>
      <c r="J4" s="3" t="inlineStr">
        <is>
          <t>Competitor_Based_Price</t>
        </is>
      </c>
      <c r="K4" s="3" t="inlineStr">
        <is>
          <t>Value_Based_Price</t>
        </is>
      </c>
      <c r="L4" s="3" t="inlineStr">
        <is>
          <t>Dynamic_Strategy_Price</t>
        </is>
      </c>
    </row>
    <row r="5">
      <c r="A5" s="4" t="inlineStr">
        <is>
          <t>PRD-101</t>
        </is>
      </c>
      <c r="B5" s="5" t="inlineStr">
        <is>
          <t>CloudFlow Analytics Pro</t>
        </is>
      </c>
      <c r="C5" s="6" t="n">
        <v>120</v>
      </c>
      <c r="D5" s="6" t="n">
        <v>499</v>
      </c>
      <c r="E5" s="6" t="n">
        <v>550</v>
      </c>
      <c r="F5" s="7" t="n">
        <v>1.5</v>
      </c>
      <c r="G5" s="7" t="n">
        <v>-0.05</v>
      </c>
      <c r="H5" s="7" t="n">
        <v>0.2</v>
      </c>
      <c r="I5" s="6">
        <f>C5*(1+F5)</f>
        <v/>
      </c>
      <c r="J5" s="6">
        <f>E5*(1+G5)</f>
        <v/>
      </c>
      <c r="K5" s="6">
        <f>D5*(1+H5)</f>
        <v/>
      </c>
      <c r="L5" s="6">
        <f>MAX(I5, MAX(J5, K5))</f>
        <v/>
      </c>
    </row>
    <row r="6">
      <c r="A6" s="8" t="inlineStr">
        <is>
          <t>PRD-102</t>
        </is>
      </c>
      <c r="B6" s="9" t="inlineStr">
        <is>
          <t>DevPulse Security Shield</t>
        </is>
      </c>
      <c r="C6" s="10" t="n">
        <v>250</v>
      </c>
      <c r="D6" s="10" t="n">
        <v>899</v>
      </c>
      <c r="E6" s="10" t="n">
        <v>950</v>
      </c>
      <c r="F6" s="11" t="n">
        <v>1.2</v>
      </c>
      <c r="G6" s="11" t="n">
        <v>-0.03</v>
      </c>
      <c r="H6" s="11" t="n">
        <v>0.15</v>
      </c>
      <c r="I6" s="10">
        <f>C6*(1+F6)</f>
        <v/>
      </c>
      <c r="J6" s="10">
        <f>E6*(1+G6)</f>
        <v/>
      </c>
      <c r="K6" s="10">
        <f>D6*(1+H6)</f>
        <v/>
      </c>
      <c r="L6" s="10">
        <f>MAX(I6, MAX(J6, K6))</f>
        <v/>
      </c>
    </row>
    <row r="7">
      <c r="A7" s="4" t="inlineStr">
        <is>
          <t>PRD-103</t>
        </is>
      </c>
      <c r="B7" s="5" t="inlineStr">
        <is>
          <t>EduFlex Learning Management</t>
        </is>
      </c>
      <c r="C7" s="6" t="n">
        <v>45</v>
      </c>
      <c r="D7" s="6" t="n">
        <v>199</v>
      </c>
      <c r="E7" s="6" t="n">
        <v>249</v>
      </c>
      <c r="F7" s="7" t="n">
        <v>2</v>
      </c>
      <c r="G7" s="7" t="n">
        <v>-0.1</v>
      </c>
      <c r="H7" s="7" t="n">
        <v>0.25</v>
      </c>
      <c r="I7" s="6">
        <f>C7*(1+F7)</f>
        <v/>
      </c>
      <c r="J7" s="6">
        <f>E7*(1+G7)</f>
        <v/>
      </c>
      <c r="K7" s="6">
        <f>D7*(1+H7)</f>
        <v/>
      </c>
      <c r="L7" s="6">
        <f>MAX(I7, MAX(J7, K7))</f>
        <v/>
      </c>
    </row>
    <row r="8">
      <c r="A8" s="8" t="inlineStr">
        <is>
          <t>PRD-104</t>
        </is>
      </c>
      <c r="B8" s="9" t="inlineStr">
        <is>
          <t>PaySync Gateway Enterprise</t>
        </is>
      </c>
      <c r="C8" s="10" t="n">
        <v>180</v>
      </c>
      <c r="D8" s="10" t="n">
        <v>699</v>
      </c>
      <c r="E8" s="10" t="n">
        <v>649</v>
      </c>
      <c r="F8" s="11" t="n">
        <v>1.5</v>
      </c>
      <c r="G8" s="11" t="n">
        <v>0.05</v>
      </c>
      <c r="H8" s="11" t="n">
        <v>0.1</v>
      </c>
      <c r="I8" s="10">
        <f>C8*(1+F8)</f>
        <v/>
      </c>
      <c r="J8" s="10">
        <f>E8*(1+G8)</f>
        <v/>
      </c>
      <c r="K8" s="10">
        <f>D8*(1+H8)</f>
        <v/>
      </c>
      <c r="L8" s="10">
        <f>MAX(I8, MAX(J8, K8))</f>
        <v/>
      </c>
    </row>
    <row r="9">
      <c r="A9" s="4" t="inlineStr">
        <is>
          <t>PRD-105</t>
        </is>
      </c>
      <c r="B9" s="5" t="inlineStr">
        <is>
          <t>OmniCRM Growth Suite</t>
        </is>
      </c>
      <c r="C9" s="6" t="n">
        <v>80</v>
      </c>
      <c r="D9" s="6" t="n">
        <v>349</v>
      </c>
      <c r="E9" s="6" t="n">
        <v>399</v>
      </c>
      <c r="F9" s="7" t="n">
        <v>1.8</v>
      </c>
      <c r="G9" s="7" t="n">
        <v>-0.05</v>
      </c>
      <c r="H9" s="7" t="n">
        <v>0.18</v>
      </c>
      <c r="I9" s="6">
        <f>C9*(1+F9)</f>
        <v/>
      </c>
      <c r="J9" s="6">
        <f>E9*(1+G9)</f>
        <v/>
      </c>
      <c r="K9" s="6">
        <f>D9*(1+H9)</f>
        <v/>
      </c>
      <c r="L9" s="6">
        <f>MAX(I9, MAX(J9, K9))</f>
        <v/>
      </c>
    </row>
    <row r="10">
      <c r="A10" s="8" t="inlineStr">
        <is>
          <t>PRD-106</t>
        </is>
      </c>
      <c r="B10" s="9" t="inlineStr">
        <is>
          <t>SmartStore E-Com Manager</t>
        </is>
      </c>
      <c r="C10" s="10" t="n">
        <v>65</v>
      </c>
      <c r="D10" s="10" t="n">
        <v>299</v>
      </c>
      <c r="E10" s="10" t="n">
        <v>279</v>
      </c>
      <c r="F10" s="11" t="n">
        <v>2.2</v>
      </c>
      <c r="G10" s="11" t="n">
        <v>0.02</v>
      </c>
      <c r="H10" s="11" t="n">
        <v>0.12</v>
      </c>
      <c r="I10" s="10">
        <f>C10*(1+F10)</f>
        <v/>
      </c>
      <c r="J10" s="10">
        <f>E10*(1+G10)</f>
        <v/>
      </c>
      <c r="K10" s="10">
        <f>D10*(1+H10)</f>
        <v/>
      </c>
      <c r="L10" s="10">
        <f>MAX(I10, MAX(J10, K10))</f>
        <v/>
      </c>
    </row>
    <row r="11">
      <c r="A11" s="4" t="inlineStr">
        <is>
          <t>PRD-107</t>
        </is>
      </c>
      <c r="B11" s="5" t="inlineStr">
        <is>
          <t>AI TaskMaster Workflow</t>
        </is>
      </c>
      <c r="C11" s="6" t="n">
        <v>25</v>
      </c>
      <c r="D11" s="6" t="n">
        <v>149</v>
      </c>
      <c r="E11" s="6" t="n">
        <v>179</v>
      </c>
      <c r="F11" s="7" t="n">
        <v>3</v>
      </c>
      <c r="G11" s="7" t="n">
        <v>-0.08</v>
      </c>
      <c r="H11" s="7" t="n">
        <v>0.3</v>
      </c>
      <c r="I11" s="6">
        <f>C11*(1+F11)</f>
        <v/>
      </c>
      <c r="J11" s="6">
        <f>E11*(1+G11)</f>
        <v/>
      </c>
      <c r="K11" s="6">
        <f>D11*(1+H11)</f>
        <v/>
      </c>
      <c r="L11" s="6">
        <f>MAX(I11, MAX(J11, K11))</f>
        <v/>
      </c>
    </row>
    <row r="12">
      <c r="A12" s="8" t="inlineStr">
        <is>
          <t>PRD-108</t>
        </is>
      </c>
      <c r="B12" s="9" t="inlineStr">
        <is>
          <t>DataVault Cloud Backup</t>
        </is>
      </c>
      <c r="C12" s="10" t="n">
        <v>110</v>
      </c>
      <c r="D12" s="10" t="n">
        <v>449</v>
      </c>
      <c r="E12" s="10" t="n">
        <v>429</v>
      </c>
      <c r="F12" s="11" t="n">
        <v>1.6</v>
      </c>
      <c r="G12" s="11" t="n">
        <v>0.03</v>
      </c>
      <c r="H12" s="11" t="n">
        <v>0.15</v>
      </c>
      <c r="I12" s="10">
        <f>C12*(1+F12)</f>
        <v/>
      </c>
      <c r="J12" s="10">
        <f>E12*(1+G12)</f>
        <v/>
      </c>
      <c r="K12" s="10">
        <f>D12*(1+H12)</f>
        <v/>
      </c>
      <c r="L12" s="10">
        <f>MAX(I12, MAX(J12, K12))</f>
        <v/>
      </c>
    </row>
    <row r="13">
      <c r="A13" s="4" t="inlineStr">
        <is>
          <t>PRD-109</t>
        </is>
      </c>
      <c r="B13" s="5" t="inlineStr">
        <is>
          <t>TalentScout HR Automation</t>
        </is>
      </c>
      <c r="C13" s="6" t="n">
        <v>95</v>
      </c>
      <c r="D13" s="6" t="n">
        <v>399</v>
      </c>
      <c r="E13" s="6" t="n">
        <v>449</v>
      </c>
      <c r="F13" s="7" t="n">
        <v>1.7</v>
      </c>
      <c r="G13" s="7" t="n">
        <v>-0.05</v>
      </c>
      <c r="H13" s="7" t="n">
        <v>0.22</v>
      </c>
      <c r="I13" s="6">
        <f>C13*(1+F13)</f>
        <v/>
      </c>
      <c r="J13" s="6">
        <f>E13*(1+G13)</f>
        <v/>
      </c>
      <c r="K13" s="6">
        <f>D13*(1+H13)</f>
        <v/>
      </c>
      <c r="L13" s="6">
        <f>MAX(I13, MAX(J13, K13))</f>
        <v/>
      </c>
    </row>
    <row r="14">
      <c r="A14" s="8" t="inlineStr">
        <is>
          <t>PRD-110</t>
        </is>
      </c>
      <c r="B14" s="9" t="inlineStr">
        <is>
          <t>HealthTrack Clinic Ops</t>
        </is>
      </c>
      <c r="C14" s="10" t="n">
        <v>210</v>
      </c>
      <c r="D14" s="10" t="n">
        <v>799</v>
      </c>
      <c r="E14" s="10" t="n">
        <v>849</v>
      </c>
      <c r="F14" s="11" t="n">
        <v>1.4</v>
      </c>
      <c r="G14" s="11" t="n">
        <v>-0.02</v>
      </c>
      <c r="H14" s="11" t="n">
        <v>0.1</v>
      </c>
      <c r="I14" s="10">
        <f>C14*(1+F14)</f>
        <v/>
      </c>
      <c r="J14" s="10">
        <f>E14*(1+G14)</f>
        <v/>
      </c>
      <c r="K14" s="10">
        <f>D14*(1+H14)</f>
        <v/>
      </c>
      <c r="L14" s="10">
        <f>MAX(I14, MAX(J14, K14))</f>
        <v/>
      </c>
    </row>
    <row r="15">
      <c r="A15" s="4" t="inlineStr">
        <is>
          <t>PRD-111</t>
        </is>
      </c>
      <c r="B15" s="5" t="inlineStr">
        <is>
          <t>LegalDoc AI Generator</t>
        </is>
      </c>
      <c r="C15" s="6" t="n">
        <v>150</v>
      </c>
      <c r="D15" s="6" t="n">
        <v>599</v>
      </c>
      <c r="E15" s="6" t="n">
        <v>599</v>
      </c>
      <c r="F15" s="7" t="n">
        <v>1.5</v>
      </c>
      <c r="G15" s="7" t="n">
        <v>0</v>
      </c>
      <c r="H15" s="7" t="n">
        <v>0.15</v>
      </c>
      <c r="I15" s="6">
        <f>C15*(1+F15)</f>
        <v/>
      </c>
      <c r="J15" s="6">
        <f>E15*(1+G15)</f>
        <v/>
      </c>
      <c r="K15" s="6">
        <f>D15*(1+H15)</f>
        <v/>
      </c>
      <c r="L15" s="6">
        <f>MAX(I15, MAX(J15, K15))</f>
        <v/>
      </c>
    </row>
    <row r="16">
      <c r="A16" s="8" t="inlineStr">
        <is>
          <t>PRD-112</t>
        </is>
      </c>
      <c r="B16" s="9" t="inlineStr">
        <is>
          <t>LogiRoute Fleet Tracking</t>
        </is>
      </c>
      <c r="C16" s="10" t="n">
        <v>280</v>
      </c>
      <c r="D16" s="10" t="n">
        <v>1199</v>
      </c>
      <c r="E16" s="10" t="n">
        <v>1299</v>
      </c>
      <c r="F16" s="11" t="n">
        <v>1.3</v>
      </c>
      <c r="G16" s="11" t="n">
        <v>-0.04</v>
      </c>
      <c r="H16" s="11" t="n">
        <v>0.08</v>
      </c>
      <c r="I16" s="10">
        <f>C16*(1+F16)</f>
        <v/>
      </c>
      <c r="J16" s="10">
        <f>E16*(1+G16)</f>
        <v/>
      </c>
      <c r="K16" s="10">
        <f>D16*(1+H16)</f>
        <v/>
      </c>
      <c r="L16" s="10">
        <f>MAX(I16, MAX(J16, K16))</f>
        <v/>
      </c>
    </row>
    <row r="17">
      <c r="A17" s="4" t="inlineStr">
        <is>
          <t>PRD-113</t>
        </is>
      </c>
      <c r="B17" s="5" t="inlineStr">
        <is>
          <t>CyberGuard Endpoint Protection</t>
        </is>
      </c>
      <c r="C17" s="6" t="n">
        <v>175</v>
      </c>
      <c r="D17" s="6" t="n">
        <v>649</v>
      </c>
      <c r="E17" s="6" t="n">
        <v>699</v>
      </c>
      <c r="F17" s="7" t="n">
        <v>1.5</v>
      </c>
      <c r="G17" s="7" t="n">
        <v>-0.05</v>
      </c>
      <c r="H17" s="7" t="n">
        <v>0.12</v>
      </c>
      <c r="I17" s="6">
        <f>C17*(1+F17)</f>
        <v/>
      </c>
      <c r="J17" s="6">
        <f>E17*(1+G17)</f>
        <v/>
      </c>
      <c r="K17" s="6">
        <f>D17*(1+H17)</f>
        <v/>
      </c>
      <c r="L17" s="6">
        <f>MAX(I17, MAX(J17, K17))</f>
        <v/>
      </c>
    </row>
    <row r="18">
      <c r="A18" s="8" t="inlineStr">
        <is>
          <t>PRD-114</t>
        </is>
      </c>
      <c r="B18" s="9" t="inlineStr">
        <is>
          <t>DesignCraft UI Suite</t>
        </is>
      </c>
      <c r="C18" s="10" t="n">
        <v>35</v>
      </c>
      <c r="D18" s="10" t="n">
        <v>179</v>
      </c>
      <c r="E18" s="10" t="n">
        <v>199</v>
      </c>
      <c r="F18" s="11" t="n">
        <v>2.5</v>
      </c>
      <c r="G18" s="11" t="n">
        <v>-0.05</v>
      </c>
      <c r="H18" s="11" t="n">
        <v>0.25</v>
      </c>
      <c r="I18" s="10">
        <f>C18*(1+F18)</f>
        <v/>
      </c>
      <c r="J18" s="10">
        <f>E18*(1+G18)</f>
        <v/>
      </c>
      <c r="K18" s="10">
        <f>D18*(1+H18)</f>
        <v/>
      </c>
      <c r="L18" s="10">
        <f>MAX(I18, MAX(J18, K18))</f>
        <v/>
      </c>
    </row>
    <row r="19">
      <c r="A19" s="4" t="inlineStr">
        <is>
          <t>PRD-115</t>
        </is>
      </c>
      <c r="B19" s="5" t="inlineStr">
        <is>
          <t>AdBoost Marketing Engine</t>
        </is>
      </c>
      <c r="C19" s="6" t="n">
        <v>130</v>
      </c>
      <c r="D19" s="6" t="n">
        <v>549</v>
      </c>
      <c r="E19" s="6" t="n">
        <v>499</v>
      </c>
      <c r="F19" s="7" t="n">
        <v>1.6</v>
      </c>
      <c r="G19" s="7" t="n">
        <v>0.05</v>
      </c>
      <c r="H19" s="7" t="n">
        <v>0.15</v>
      </c>
      <c r="I19" s="6">
        <f>C19*(1+F19)</f>
        <v/>
      </c>
      <c r="J19" s="6">
        <f>E19*(1+G19)</f>
        <v/>
      </c>
      <c r="K19" s="6">
        <f>D19*(1+H19)</f>
        <v/>
      </c>
      <c r="L19" s="6">
        <f>MAX(I19, MAX(J19, K19))</f>
        <v/>
      </c>
    </row>
    <row r="20">
      <c r="A20" s="12" t="inlineStr">
        <is>
          <t>AVERAGE</t>
        </is>
      </c>
      <c r="B20" s="13" t="n"/>
      <c r="C20" s="14">
        <f>AVERAGE(C5:C19)</f>
        <v/>
      </c>
      <c r="D20" s="14">
        <f>AVERAGE(D5:D19)</f>
        <v/>
      </c>
      <c r="E20" s="14">
        <f>AVERAGE(E5:E19)</f>
        <v/>
      </c>
      <c r="F20" s="15">
        <f>AVERAGE(F5:F19)</f>
        <v/>
      </c>
      <c r="G20" s="15">
        <f>AVERAGE(G5:G19)</f>
        <v/>
      </c>
      <c r="H20" s="15">
        <f>AVERAGE(H5:H19)</f>
        <v/>
      </c>
      <c r="I20" s="14">
        <f>AVERAGE(I5:I19)</f>
        <v/>
      </c>
      <c r="J20" s="14">
        <f>AVERAGE(J5:J19)</f>
        <v/>
      </c>
      <c r="K20" s="14">
        <f>AVERAGE(K5:K19)</f>
        <v/>
      </c>
      <c r="L20" s="14">
        <f>AVERAGE(L5:L19)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2026-08-18T14:56:21Z</dcterms:created>
  <dcterms:modified xmlns:dcterms="http://purl.org/dc/terms/" xmlns:xsi="http://www.w3.org/2001/XMLSchema-instance" xsi:type="dcterms:W3CDTF">2026-08-18T14:56:21Z</dcterms:modified>
</cp:coreProperties>
</file>